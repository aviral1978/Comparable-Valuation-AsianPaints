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vira\Downloads\"/>
    </mc:Choice>
  </mc:AlternateContent>
  <xr:revisionPtr revIDLastSave="0" documentId="13_ncr:1_{342267D0-B902-40B9-8AB2-1756E953AB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arable Valuati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M32" i="1"/>
  <c r="E13" i="1"/>
  <c r="G13" i="1" s="1"/>
  <c r="E9" i="1"/>
  <c r="G9" i="1"/>
  <c r="M9" i="1"/>
  <c r="N9" i="1"/>
  <c r="O9" i="1"/>
  <c r="O32" i="1"/>
  <c r="N32" i="1"/>
  <c r="O30" i="1"/>
  <c r="N30" i="1"/>
  <c r="M30" i="1"/>
  <c r="O26" i="1"/>
  <c r="N26" i="1"/>
  <c r="M26" i="1"/>
  <c r="E12" i="1"/>
  <c r="O12" i="1" s="1"/>
  <c r="E11" i="1"/>
  <c r="E10" i="1"/>
  <c r="E8" i="1"/>
  <c r="E7" i="1"/>
  <c r="O7" i="1" s="1"/>
  <c r="O13" i="1" l="1"/>
  <c r="N13" i="1"/>
  <c r="M13" i="1"/>
  <c r="O11" i="1"/>
  <c r="O8" i="1"/>
  <c r="O18" i="1" s="1"/>
  <c r="O10" i="1"/>
  <c r="O21" i="1" s="1"/>
  <c r="O17" i="1" l="1"/>
  <c r="O20" i="1"/>
  <c r="O25" i="1" s="1"/>
  <c r="O27" i="1" s="1"/>
  <c r="O29" i="1" s="1"/>
  <c r="O31" i="1" s="1"/>
  <c r="O35" i="1" s="1"/>
  <c r="O22" i="1"/>
  <c r="O19" i="1"/>
  <c r="G8" i="1"/>
  <c r="M8" i="1" s="1"/>
  <c r="N8" i="1"/>
  <c r="G12" i="1"/>
  <c r="M12" i="1" s="1"/>
  <c r="N12" i="1"/>
  <c r="G10" i="1"/>
  <c r="N10" i="1" s="1"/>
  <c r="M10" i="1"/>
  <c r="N28" i="1"/>
  <c r="G7" i="1"/>
  <c r="M7" i="1" s="1"/>
  <c r="M28" i="1"/>
  <c r="G11" i="1"/>
  <c r="N11" i="1" s="1"/>
  <c r="M11" i="1"/>
  <c r="M18" i="1" l="1"/>
  <c r="M17" i="1"/>
  <c r="N18" i="1"/>
  <c r="N19" i="1"/>
  <c r="N17" i="1"/>
  <c r="N20" i="1"/>
  <c r="N25" i="1" s="1"/>
  <c r="N27" i="1" s="1"/>
  <c r="N29" i="1" s="1"/>
  <c r="N31" i="1" s="1"/>
  <c r="N35" i="1" s="1"/>
  <c r="M22" i="1"/>
  <c r="M20" i="1"/>
  <c r="M25" i="1" s="1"/>
  <c r="M27" i="1" s="1"/>
  <c r="M29" i="1" s="1"/>
  <c r="M31" i="1" s="1"/>
  <c r="M35" i="1" s="1"/>
  <c r="M19" i="1"/>
  <c r="M21" i="1"/>
  <c r="N21" i="1"/>
  <c r="N7" i="1"/>
  <c r="N22" i="1"/>
</calcChain>
</file>

<file path=xl/sharedStrings.xml><?xml version="1.0" encoding="utf-8"?>
<sst xmlns="http://schemas.openxmlformats.org/spreadsheetml/2006/main" count="56" uniqueCount="50">
  <si>
    <t>COMPARABLE COMPANY VALUATION  |  Indian Private Sector Banks</t>
  </si>
  <si>
    <t>◀  MARKET DATA  ▶</t>
  </si>
  <si>
    <t>◀  FINANCIALS (₹ Cr.)  ▶</t>
  </si>
  <si>
    <t>◀  VALUATION MULTIPLES  ▶</t>
  </si>
  <si>
    <t>Company</t>
  </si>
  <si>
    <t>Ticker</t>
  </si>
  <si>
    <t>Share Price
(₹)</t>
  </si>
  <si>
    <t>Shares
Outstanding (Cr.)</t>
  </si>
  <si>
    <t>Market Cap
(₹ Cr.)</t>
  </si>
  <si>
    <t>Net Debt
(₹ Cr.)</t>
  </si>
  <si>
    <t>Enterprise
Value (₹ Cr.)</t>
  </si>
  <si>
    <t>Revenue
(₹ Cr.)</t>
  </si>
  <si>
    <t>EBITDA
(₹ Cr.)</t>
  </si>
  <si>
    <t>Net Income
(₹ Cr.)</t>
  </si>
  <si>
    <t>EV / Revenue</t>
  </si>
  <si>
    <t>EV / EBITDA</t>
  </si>
  <si>
    <t>P / E</t>
  </si>
  <si>
    <t>High</t>
  </si>
  <si>
    <t>75th Percentile</t>
  </si>
  <si>
    <t>Average</t>
  </si>
  <si>
    <t>Median</t>
  </si>
  <si>
    <t>25th Percentile</t>
  </si>
  <si>
    <t>Low</t>
  </si>
  <si>
    <t>Multiple Applied</t>
  </si>
  <si>
    <t>ICICI Financial Base (₹ Cr.)</t>
  </si>
  <si>
    <t>Implied EV / Market Cap (₹ Cr.)</t>
  </si>
  <si>
    <t>Less: Net Debt (₹ Cr.)</t>
  </si>
  <si>
    <t>Implied Market Cap (₹ Cr.)</t>
  </si>
  <si>
    <t>Shares Outstanding (Cr.)</t>
  </si>
  <si>
    <t>Implied Share Price (₹)</t>
  </si>
  <si>
    <t>Current Market Price (₹)</t>
  </si>
  <si>
    <t>VALUATION VERDICT  (vs. Peer Median)</t>
  </si>
  <si>
    <t>Asian Paints</t>
  </si>
  <si>
    <t>Berger Paints</t>
  </si>
  <si>
    <t>Kansai Nerolac</t>
  </si>
  <si>
    <t>Akzo Nobel</t>
  </si>
  <si>
    <t>Indigo Paints</t>
  </si>
  <si>
    <t xml:space="preserve">	Sirca Paints</t>
  </si>
  <si>
    <t>Kamdhenu Venture</t>
  </si>
  <si>
    <t>ASIANPAINT</t>
  </si>
  <si>
    <t>BERGEPAINT</t>
  </si>
  <si>
    <t>KANSAINER</t>
  </si>
  <si>
    <t>AKZOINDIA</t>
  </si>
  <si>
    <t>INDIGOPNTS</t>
  </si>
  <si>
    <t>SIRCA</t>
  </si>
  <si>
    <t>KAMDHENU</t>
  </si>
  <si>
    <t>ASIAN PAINTS  –  IMPLIED VALUATION BRIDGE</t>
  </si>
  <si>
    <t>PEER GROUP STATISTICS  (Excludes Asian Paints)</t>
  </si>
  <si>
    <t>Benchmarking Asian Paints Against Peer Set  |  Figures in ₹ Crores  |  Source: NSE  |  Prices : Mar-2026</t>
  </si>
  <si>
    <t>Source:  Screener.in  |  Prices as of Mar 2026  |  Blue = Hardcoded Inputs  |  Black = Formulas  |  All figures in ₹ Crores unless 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</si>
</sst>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x"/>
    <numFmt numFmtId="165" formatCode="\₹#,##0.00"/>
    <numFmt numFmtId="166" formatCode="0.0%;\(0.0%\)"/>
  </numFmts>
  <fonts count="16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9"/>
      <color rgb="FF0D1B2A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sz val="9"/>
      <color rgb="FF00008B"/>
      <name val="Calibri"/>
      <charset val="1"/>
    </font>
    <font>
      <b/>
      <sz val="10"/>
      <color rgb="FFFFFFFF"/>
      <name val="Calibri"/>
      <charset val="1"/>
    </font>
    <font>
      <b/>
      <sz val="9"/>
      <color rgb="FF1A1A2E"/>
      <name val="Calibri"/>
      <charset val="1"/>
    </font>
    <font>
      <sz val="9"/>
      <color rgb="FF1A1A2E"/>
      <name val="Calibri"/>
      <charset val="1"/>
    </font>
    <font>
      <b/>
      <sz val="10"/>
      <color rgb="FFB22222"/>
      <name val="Calibri"/>
      <charset val="1"/>
    </font>
    <font>
      <b/>
      <sz val="16"/>
      <color rgb="FFC9A84C"/>
      <name val="Calibri"/>
      <family val="2"/>
    </font>
    <font>
      <b/>
      <sz val="9"/>
      <color rgb="FF0D1B2A"/>
      <name val="Calibri"/>
      <family val="2"/>
    </font>
    <font>
      <sz val="9"/>
      <color rgb="FF000000"/>
      <name val="Calibri"/>
      <family val="2"/>
    </font>
    <font>
      <b/>
      <sz val="10"/>
      <color rgb="FFFFFFFF"/>
      <name val="Calibri"/>
      <family val="2"/>
    </font>
    <font>
      <i/>
      <sz val="10"/>
      <color rgb="FFAACCEE"/>
      <name val="Calibri"/>
      <family val="2"/>
    </font>
    <font>
      <i/>
      <sz val="8"/>
      <color rgb="FF88888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1B3A5C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E8EEF4"/>
        <bgColor rgb="FFE8F5E9"/>
      </patternFill>
    </fill>
    <fill>
      <patternFill patternType="solid">
        <fgColor rgb="FFFFFFFF"/>
        <bgColor rgb="FFFFF8E1"/>
      </patternFill>
    </fill>
    <fill>
      <patternFill patternType="solid">
        <fgColor rgb="FFD6E4F0"/>
        <bgColor rgb="FFE8EEF4"/>
      </patternFill>
    </fill>
    <fill>
      <patternFill patternType="solid">
        <fgColor rgb="FFE8F5E9"/>
        <bgColor rgb="FFE8EEF4"/>
      </patternFill>
    </fill>
    <fill>
      <patternFill patternType="solid">
        <fgColor rgb="FFFFF8E1"/>
        <bgColor rgb="FFFFF3CD"/>
      </patternFill>
    </fill>
    <fill>
      <patternFill patternType="solid">
        <fgColor theme="0"/>
        <bgColor rgb="FFFFF8E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FF8E1"/>
      </patternFill>
    </fill>
    <fill>
      <patternFill patternType="solid">
        <fgColor theme="4" tint="0.79998168889431442"/>
        <bgColor rgb="FFE8F5E9"/>
      </patternFill>
    </fill>
  </fills>
  <borders count="9">
    <border>
      <left/>
      <right/>
      <top/>
      <bottom/>
      <diagonal/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rgb="FFAABBCC"/>
      </bottom>
      <diagonal/>
    </border>
    <border>
      <left style="thin">
        <color rgb="FFAABBCC"/>
      </left>
      <right/>
      <top style="thin">
        <color rgb="FFAABBCC"/>
      </top>
      <bottom style="thin">
        <color rgb="FFAABBCC"/>
      </bottom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/>
      <right/>
      <top style="thin">
        <color rgb="FFAABBCC"/>
      </top>
      <bottom style="thin">
        <color rgb="FFAABBCC"/>
      </bottom>
      <diagonal/>
    </border>
    <border>
      <left style="thin">
        <color rgb="FFAABBCC"/>
      </left>
      <right style="thin">
        <color rgb="FFAABBCC"/>
      </right>
      <top style="thin">
        <color rgb="FFAABBCC"/>
      </top>
      <bottom style="thin">
        <color theme="3" tint="0.79998168889431442"/>
      </bottom>
      <diagonal/>
    </border>
    <border>
      <left style="thin">
        <color rgb="FFAABBCC"/>
      </left>
      <right/>
      <top style="thin">
        <color rgb="FFAABBCC"/>
      </top>
      <bottom style="thin">
        <color theme="3" tint="0.79998168889431442"/>
      </bottom>
      <diagonal/>
    </border>
    <border>
      <left/>
      <right/>
      <top style="thin">
        <color rgb="FFAABBCC"/>
      </top>
      <bottom style="thin">
        <color theme="3" tint="0.79998168889431442"/>
      </bottom>
      <diagonal/>
    </border>
    <border>
      <left/>
      <right style="thin">
        <color rgb="FFAABBCC"/>
      </right>
      <top style="thin">
        <color rgb="FFAABBCC"/>
      </top>
      <bottom style="thin">
        <color theme="3" tint="0.79998168889431442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right" vertical="center"/>
    </xf>
    <xf numFmtId="0" fontId="0" fillId="5" borderId="0" xfId="0" applyFill="1"/>
    <xf numFmtId="164" fontId="3" fillId="4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center" vertical="center"/>
    </xf>
    <xf numFmtId="4" fontId="5" fillId="7" borderId="1" xfId="0" applyNumberFormat="1" applyFont="1" applyFill="1" applyBorder="1" applyAlignment="1">
      <alignment horizontal="right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165" fontId="3" fillId="7" borderId="1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0" fillId="0" borderId="4" xfId="0" applyBorder="1"/>
    <xf numFmtId="0" fontId="8" fillId="7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8" fillId="8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7" fillId="10" borderId="0" xfId="0" applyFont="1" applyFill="1" applyBorder="1" applyAlignment="1">
      <alignment horizontal="left" vertical="center"/>
    </xf>
    <xf numFmtId="0" fontId="0" fillId="11" borderId="0" xfId="0" applyFill="1" applyBorder="1"/>
    <xf numFmtId="166" fontId="3" fillId="10" borderId="0" xfId="0" applyNumberFormat="1" applyFont="1" applyFill="1" applyBorder="1" applyAlignment="1">
      <alignment horizontal="center" vertical="center"/>
    </xf>
    <xf numFmtId="0" fontId="0" fillId="0" borderId="0" xfId="0" applyBorder="1"/>
    <xf numFmtId="165" fontId="4" fillId="6" borderId="5" xfId="0" applyNumberFormat="1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15" fillId="0" borderId="0" xfId="0" applyFont="1" applyAlignment="1">
      <alignment horizontal="center" vertical="center"/>
    </xf>
    <xf numFmtId="0" fontId="12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4" fontId="5" fillId="12" borderId="1" xfId="0" applyNumberFormat="1" applyFont="1" applyFill="1" applyBorder="1" applyAlignment="1">
      <alignment horizontal="right" vertical="center"/>
    </xf>
    <xf numFmtId="0" fontId="0" fillId="13" borderId="0" xfId="0" applyFill="1"/>
    <xf numFmtId="164" fontId="4" fillId="1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AABBCC"/>
      <rgbColor rgb="FF888888"/>
      <rgbColor rgb="FF9999FF"/>
      <rgbColor rgb="FF993366"/>
      <rgbColor rgb="FFFFF8E1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CCFFCC"/>
      <rgbColor rgb="FFFFF3CD"/>
      <rgbColor rgb="FFAACC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B3A5C"/>
      <rgbColor rgb="FF339966"/>
      <rgbColor rgb="FF0D1B2A"/>
      <rgbColor rgb="FF333300"/>
      <rgbColor rgb="FFB22222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showGridLines="0" tabSelected="1" zoomScale="93" zoomScaleNormal="78" workbookViewId="0">
      <selection activeCell="G14" sqref="G14"/>
    </sheetView>
  </sheetViews>
  <sheetFormatPr defaultColWidth="8.6640625" defaultRowHeight="14.4" x14ac:dyDescent="0.3"/>
  <cols>
    <col min="1" max="1" width="22" customWidth="1"/>
    <col min="2" max="3" width="12" customWidth="1"/>
    <col min="4" max="4" width="14" customWidth="1"/>
    <col min="5" max="5" width="16" customWidth="1"/>
    <col min="6" max="6" width="14" customWidth="1"/>
    <col min="7" max="7" width="16" customWidth="1"/>
    <col min="8" max="8" width="2" customWidth="1"/>
    <col min="9" max="11" width="14" customWidth="1"/>
    <col min="12" max="12" width="2" customWidth="1"/>
    <col min="13" max="14" width="15" customWidth="1"/>
    <col min="15" max="15" width="15.21875" customWidth="1"/>
  </cols>
  <sheetData>
    <row r="1" spans="1:15" ht="9.75" customHeight="1" x14ac:dyDescent="0.3">
      <c r="A1" s="29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37.5" customHeight="1" x14ac:dyDescent="0.3">
      <c r="A2" s="30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21.75" customHeight="1" x14ac:dyDescent="0.3">
      <c r="A3" s="39" t="s">
        <v>48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ht="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9.5" customHeight="1" x14ac:dyDescent="0.3">
      <c r="A5" s="2"/>
      <c r="B5" s="2"/>
      <c r="C5" s="22" t="s">
        <v>1</v>
      </c>
      <c r="D5" s="23"/>
      <c r="E5" s="23"/>
      <c r="F5" s="23"/>
      <c r="G5" s="23"/>
      <c r="H5" s="2"/>
      <c r="I5" s="22" t="s">
        <v>2</v>
      </c>
      <c r="J5" s="23"/>
      <c r="K5" s="23"/>
      <c r="L5" s="2"/>
      <c r="M5" s="22" t="s">
        <v>3</v>
      </c>
      <c r="N5" s="23"/>
      <c r="O5" s="23"/>
    </row>
    <row r="6" spans="1:15" ht="36" customHeight="1" x14ac:dyDescent="0.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2"/>
      <c r="I6" s="3" t="s">
        <v>11</v>
      </c>
      <c r="J6" s="3" t="s">
        <v>12</v>
      </c>
      <c r="K6" s="3" t="s">
        <v>13</v>
      </c>
      <c r="L6" s="2"/>
      <c r="M6" s="3" t="s">
        <v>14</v>
      </c>
      <c r="N6" s="3" t="s">
        <v>15</v>
      </c>
      <c r="O6" s="3" t="s">
        <v>16</v>
      </c>
    </row>
    <row r="7" spans="1:15" ht="18" customHeight="1" x14ac:dyDescent="0.3">
      <c r="A7" s="31" t="s">
        <v>32</v>
      </c>
      <c r="B7" s="34" t="s">
        <v>39</v>
      </c>
      <c r="C7" s="4">
        <v>2195.4</v>
      </c>
      <c r="D7" s="4">
        <v>95.92</v>
      </c>
      <c r="E7" s="4">
        <f>C7*D7</f>
        <v>210582.76800000001</v>
      </c>
      <c r="F7" s="4">
        <v>2775.11</v>
      </c>
      <c r="G7" s="4">
        <f>E7+F7</f>
        <v>213357.878</v>
      </c>
      <c r="H7" s="5"/>
      <c r="I7" s="4">
        <v>34695.75</v>
      </c>
      <c r="J7" s="4">
        <v>7565.8226749999994</v>
      </c>
      <c r="K7" s="4">
        <v>3910.03</v>
      </c>
      <c r="L7" s="5"/>
      <c r="M7" s="6">
        <f>G7/I7</f>
        <v>6.1493951852892641</v>
      </c>
      <c r="N7" s="6">
        <f>G7/J7</f>
        <v>28.200221861530743</v>
      </c>
      <c r="O7" s="6">
        <f>E7/K7</f>
        <v>53.857072196377011</v>
      </c>
    </row>
    <row r="8" spans="1:15" ht="18" customHeight="1" x14ac:dyDescent="0.3">
      <c r="A8" s="32" t="s">
        <v>33</v>
      </c>
      <c r="B8" s="35" t="s">
        <v>40</v>
      </c>
      <c r="C8" s="7">
        <v>416.7</v>
      </c>
      <c r="D8" s="7">
        <v>116.6</v>
      </c>
      <c r="E8" s="7">
        <f>C8*D8</f>
        <v>48587.219999999994</v>
      </c>
      <c r="F8" s="7">
        <v>196.85000000000002</v>
      </c>
      <c r="G8" s="7">
        <f>E8+F8</f>
        <v>48784.069999999992</v>
      </c>
      <c r="H8" s="5"/>
      <c r="I8" s="7">
        <v>11716.25</v>
      </c>
      <c r="J8" s="7">
        <v>2159.9383750000002</v>
      </c>
      <c r="K8" s="7">
        <v>1055.68</v>
      </c>
      <c r="L8" s="5"/>
      <c r="M8" s="8">
        <f>G8/I8</f>
        <v>4.163795583057718</v>
      </c>
      <c r="N8" s="8">
        <f>G8/J8</f>
        <v>22.585861969325855</v>
      </c>
      <c r="O8" s="8">
        <f>E8/K8</f>
        <v>46.024571839951491</v>
      </c>
    </row>
    <row r="9" spans="1:15" ht="18" customHeight="1" x14ac:dyDescent="0.3">
      <c r="A9" s="33" t="s">
        <v>34</v>
      </c>
      <c r="B9" s="36" t="s">
        <v>41</v>
      </c>
      <c r="C9" s="9">
        <v>166.77</v>
      </c>
      <c r="D9" s="9">
        <v>80.87</v>
      </c>
      <c r="E9" s="9">
        <f>C9*D9</f>
        <v>13486.689900000001</v>
      </c>
      <c r="F9" s="9">
        <v>-13.639999999999986</v>
      </c>
      <c r="G9" s="9">
        <f>E9+F9</f>
        <v>13473.049900000002</v>
      </c>
      <c r="H9" s="5"/>
      <c r="I9" s="9">
        <v>7914.85</v>
      </c>
      <c r="J9" s="9">
        <v>1142.4829950000001</v>
      </c>
      <c r="K9" s="9">
        <v>568.38</v>
      </c>
      <c r="L9" s="5"/>
      <c r="M9" s="10">
        <f>G9/I9</f>
        <v>1.7022495562139524</v>
      </c>
      <c r="N9" s="10">
        <f>G9/J9</f>
        <v>11.792779375241381</v>
      </c>
      <c r="O9" s="10">
        <f>E9/K9</f>
        <v>23.728297793729549</v>
      </c>
    </row>
    <row r="10" spans="1:15" ht="18" customHeight="1" x14ac:dyDescent="0.3">
      <c r="A10" s="32" t="s">
        <v>35</v>
      </c>
      <c r="B10" s="35" t="s">
        <v>42</v>
      </c>
      <c r="C10" s="7">
        <v>2885.1</v>
      </c>
      <c r="D10" s="7">
        <v>4.55</v>
      </c>
      <c r="E10" s="7">
        <f>C10*D10</f>
        <v>13127.205</v>
      </c>
      <c r="F10" s="7">
        <v>-228.3</v>
      </c>
      <c r="G10" s="7">
        <f>E10+F10</f>
        <v>12898.905000000001</v>
      </c>
      <c r="H10" s="5"/>
      <c r="I10" s="7">
        <v>3759.8</v>
      </c>
      <c r="J10" s="7">
        <v>616.63130000000001</v>
      </c>
      <c r="K10" s="7">
        <v>1955.3</v>
      </c>
      <c r="L10" s="5"/>
      <c r="M10" s="8">
        <f>G10/I10</f>
        <v>3.4307423267195065</v>
      </c>
      <c r="N10" s="8">
        <f>G10/J10</f>
        <v>20.918342938478798</v>
      </c>
      <c r="O10" s="8">
        <f>E10/K10</f>
        <v>6.7136526364240785</v>
      </c>
    </row>
    <row r="11" spans="1:15" ht="18" customHeight="1" x14ac:dyDescent="0.3">
      <c r="A11" s="33" t="s">
        <v>36</v>
      </c>
      <c r="B11" s="36" t="s">
        <v>43</v>
      </c>
      <c r="C11" s="9">
        <v>743.75</v>
      </c>
      <c r="D11" s="9">
        <v>4.7699999999999996</v>
      </c>
      <c r="E11" s="9">
        <f>C11*D11</f>
        <v>3547.6874999999995</v>
      </c>
      <c r="F11" s="9">
        <v>-19.46</v>
      </c>
      <c r="G11" s="9">
        <f>E11+F11</f>
        <v>3528.2274999999995</v>
      </c>
      <c r="H11" s="5"/>
      <c r="I11" s="9">
        <v>1299.42</v>
      </c>
      <c r="J11" s="9">
        <v>294.31246799999997</v>
      </c>
      <c r="K11" s="9">
        <v>144.94999999999999</v>
      </c>
      <c r="L11" s="5"/>
      <c r="M11" s="10">
        <f>G11/I11</f>
        <v>2.7152325652983635</v>
      </c>
      <c r="N11" s="10">
        <f>G11/J11</f>
        <v>11.988032732612606</v>
      </c>
      <c r="O11" s="10">
        <f>E11/K11</f>
        <v>24.475250086236631</v>
      </c>
    </row>
    <row r="12" spans="1:15" ht="18" customHeight="1" x14ac:dyDescent="0.3">
      <c r="A12" s="32" t="s">
        <v>37</v>
      </c>
      <c r="B12" s="35" t="s">
        <v>44</v>
      </c>
      <c r="C12" s="7">
        <v>429.25</v>
      </c>
      <c r="D12" s="7">
        <v>5.68</v>
      </c>
      <c r="E12" s="7">
        <f>C12*D12</f>
        <v>2438.14</v>
      </c>
      <c r="F12" s="7">
        <v>-8.9399999999999977</v>
      </c>
      <c r="G12" s="7">
        <f>E12+F12</f>
        <v>2429.1999999999998</v>
      </c>
      <c r="H12" s="5"/>
      <c r="I12" s="7">
        <v>459.12</v>
      </c>
      <c r="J12" s="7">
        <v>101.55173600000001</v>
      </c>
      <c r="K12" s="7">
        <v>61.5</v>
      </c>
      <c r="L12" s="5"/>
      <c r="M12" s="8">
        <f>G12/I12</f>
        <v>5.290991461927165</v>
      </c>
      <c r="N12" s="8">
        <f>G12/J12</f>
        <v>23.920812146431448</v>
      </c>
      <c r="O12" s="8">
        <f>E12/K12</f>
        <v>39.644552845528452</v>
      </c>
    </row>
    <row r="13" spans="1:15" ht="18" customHeight="1" x14ac:dyDescent="0.3">
      <c r="A13" s="49" t="s">
        <v>38</v>
      </c>
      <c r="B13" s="50" t="s">
        <v>45</v>
      </c>
      <c r="C13" s="51">
        <v>4.29</v>
      </c>
      <c r="D13" s="51">
        <v>31.44</v>
      </c>
      <c r="E13" s="51">
        <f>C13*D13</f>
        <v>134.8776</v>
      </c>
      <c r="F13" s="51">
        <v>26.33</v>
      </c>
      <c r="G13" s="51">
        <f>E13+F13</f>
        <v>161.20760000000001</v>
      </c>
      <c r="H13" s="52"/>
      <c r="I13" s="51">
        <v>253.02</v>
      </c>
      <c r="J13" s="51">
        <v>21.428448000000003</v>
      </c>
      <c r="K13" s="51">
        <v>4.76</v>
      </c>
      <c r="L13" s="52"/>
      <c r="M13" s="53">
        <f>G13/I13</f>
        <v>0.63713382341316893</v>
      </c>
      <c r="N13" s="53">
        <f>G13/J13</f>
        <v>7.5230646661858103</v>
      </c>
      <c r="O13" s="53">
        <f>E13/K13</f>
        <v>28.335630252100842</v>
      </c>
    </row>
    <row r="14" spans="1:15" ht="18" customHeight="1" x14ac:dyDescent="0.3"/>
    <row r="15" spans="1:15" ht="14.4" customHeight="1" x14ac:dyDescent="0.3"/>
    <row r="16" spans="1:15" ht="21.75" customHeight="1" x14ac:dyDescent="0.3">
      <c r="A16" s="38" t="s">
        <v>47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1" t="s">
        <v>14</v>
      </c>
      <c r="N16" s="11" t="s">
        <v>15</v>
      </c>
      <c r="O16" s="11" t="s">
        <v>16</v>
      </c>
    </row>
    <row r="17" spans="1:15" ht="16.5" customHeight="1" x14ac:dyDescent="0.3">
      <c r="A17" s="19" t="s">
        <v>17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12">
        <f>MAX(M8:M13)</f>
        <v>5.290991461927165</v>
      </c>
      <c r="N17" s="12">
        <f>MAX(N8:N13)</f>
        <v>23.920812146431448</v>
      </c>
      <c r="O17" s="12">
        <f>MAX(O8:O13)</f>
        <v>46.024571839951491</v>
      </c>
    </row>
    <row r="18" spans="1:15" ht="16.5" customHeight="1" x14ac:dyDescent="0.3">
      <c r="A18" s="25" t="s">
        <v>18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8">
        <f>PERCENTILE(M8:M13,0.75)</f>
        <v>3.9805322689731653</v>
      </c>
      <c r="N18" s="8">
        <f>PERCENTILE(N8:N13,0.75)</f>
        <v>22.16898221161409</v>
      </c>
      <c r="O18" s="8">
        <f>PERCENTILE(O8:O13,0.75)</f>
        <v>36.817322197171549</v>
      </c>
    </row>
    <row r="19" spans="1:15" ht="16.5" customHeight="1" x14ac:dyDescent="0.3">
      <c r="A19" s="24" t="s">
        <v>19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12">
        <f>AVERAGE(M8:M13)</f>
        <v>2.9900242194383124</v>
      </c>
      <c r="N19" s="12">
        <f>AVERAGE(N8:N13)</f>
        <v>16.454815638045982</v>
      </c>
      <c r="O19" s="12">
        <f>AVERAGE(O8:O13)</f>
        <v>28.153659242328501</v>
      </c>
    </row>
    <row r="20" spans="1:15" ht="16.5" customHeight="1" x14ac:dyDescent="0.3">
      <c r="A20" s="28" t="s">
        <v>20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8">
        <f>MEDIAN(M8:M13)</f>
        <v>3.072987446008935</v>
      </c>
      <c r="N20" s="8">
        <f>MEDIAN(N8:N13)</f>
        <v>16.453187835545702</v>
      </c>
      <c r="O20" s="8">
        <f>MEDIAN(O8:O13)</f>
        <v>26.405440169168735</v>
      </c>
    </row>
    <row r="21" spans="1:15" ht="16.5" customHeight="1" x14ac:dyDescent="0.3">
      <c r="A21" s="24" t="s">
        <v>21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2">
        <f>PERCENTILE(M8:M13,0.25)</f>
        <v>1.9554953084850553</v>
      </c>
      <c r="N21" s="12">
        <f>PERCENTILE(N8:N13,0.25)</f>
        <v>11.841592714584188</v>
      </c>
      <c r="O21" s="12">
        <f>PERCENTILE(O8:O13,0.25)</f>
        <v>23.915035866856321</v>
      </c>
    </row>
    <row r="22" spans="1:15" ht="16.5" customHeight="1" x14ac:dyDescent="0.3">
      <c r="A22" s="28" t="s">
        <v>22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8">
        <f>MIN(M8:M13)</f>
        <v>0.63713382341316893</v>
      </c>
      <c r="N22" s="8">
        <f>MIN(N8:N13)</f>
        <v>7.5230646661858103</v>
      </c>
      <c r="O22" s="8">
        <f>MIN(O8:O13)</f>
        <v>6.7136526364240785</v>
      </c>
    </row>
    <row r="23" spans="1:15" ht="18" customHeight="1" x14ac:dyDescent="0.3"/>
    <row r="24" spans="1:15" ht="21.75" customHeight="1" x14ac:dyDescent="0.3">
      <c r="A24" s="37" t="s">
        <v>46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3" t="s">
        <v>14</v>
      </c>
      <c r="N24" s="13" t="s">
        <v>15</v>
      </c>
      <c r="O24" s="13" t="s">
        <v>16</v>
      </c>
    </row>
    <row r="25" spans="1:15" ht="18" customHeight="1" x14ac:dyDescent="0.3">
      <c r="A25" s="26" t="s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14">
        <f>M20</f>
        <v>3.072987446008935</v>
      </c>
      <c r="N25" s="14">
        <f>N20</f>
        <v>16.453187835545702</v>
      </c>
      <c r="O25" s="14">
        <f>O20</f>
        <v>26.405440169168735</v>
      </c>
    </row>
    <row r="26" spans="1:15" ht="18" customHeight="1" x14ac:dyDescent="0.3">
      <c r="A26" s="25" t="s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5">
        <f>I7</f>
        <v>34695.75</v>
      </c>
      <c r="N26" s="15">
        <f>J7</f>
        <v>7565.8226749999994</v>
      </c>
      <c r="O26" s="15">
        <f>K7</f>
        <v>3910.03</v>
      </c>
    </row>
    <row r="27" spans="1:15" ht="18" customHeight="1" x14ac:dyDescent="0.3">
      <c r="A27" s="21" t="s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16">
        <f>M25*M26</f>
        <v>106619.6041798645</v>
      </c>
      <c r="N27" s="16">
        <f>N25*N26</f>
        <v>124481.90160220583</v>
      </c>
      <c r="O27" s="16">
        <f>O25*O26</f>
        <v>103246.06322465483</v>
      </c>
    </row>
    <row r="28" spans="1:15" ht="18" customHeight="1" x14ac:dyDescent="0.3">
      <c r="A28" s="25" t="s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5">
        <f>F7</f>
        <v>2775.11</v>
      </c>
      <c r="N28" s="15">
        <f>F7</f>
        <v>2775.11</v>
      </c>
      <c r="O28" s="15">
        <f>F7</f>
        <v>2775.11</v>
      </c>
    </row>
    <row r="29" spans="1:15" ht="18" customHeight="1" x14ac:dyDescent="0.3">
      <c r="A29" s="21" t="s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6">
        <f>M27-M28</f>
        <v>103844.4941798645</v>
      </c>
      <c r="N29" s="16">
        <f>N27-N28</f>
        <v>121706.79160220583</v>
      </c>
      <c r="O29" s="16">
        <f>O27</f>
        <v>103246.06322465483</v>
      </c>
    </row>
    <row r="30" spans="1:15" ht="18" customHeight="1" x14ac:dyDescent="0.3">
      <c r="A30" s="25" t="s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5">
        <f>D7</f>
        <v>95.92</v>
      </c>
      <c r="N30" s="15">
        <f>D7</f>
        <v>95.92</v>
      </c>
      <c r="O30" s="15">
        <f>D7</f>
        <v>95.92</v>
      </c>
    </row>
    <row r="31" spans="1:15" ht="18" customHeight="1" x14ac:dyDescent="0.3">
      <c r="A31" s="26" t="s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17">
        <f>M29/M30</f>
        <v>1082.6156607575531</v>
      </c>
      <c r="N31" s="17">
        <f>N29/N30</f>
        <v>1268.836442892054</v>
      </c>
      <c r="O31" s="17">
        <f>O29/O30</f>
        <v>1076.3768059284282</v>
      </c>
    </row>
    <row r="32" spans="1:15" ht="18" customHeight="1" x14ac:dyDescent="0.3">
      <c r="A32" s="45" t="s">
        <v>30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7"/>
      <c r="M32" s="44">
        <f>C7</f>
        <v>2195.4</v>
      </c>
      <c r="N32" s="44">
        <f>C7</f>
        <v>2195.4</v>
      </c>
      <c r="O32" s="44">
        <f>C7</f>
        <v>2195.4</v>
      </c>
    </row>
    <row r="33" spans="1:15" s="43" customFormat="1" ht="18" customHeight="1" x14ac:dyDescent="0.3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2"/>
      <c r="N33" s="42"/>
      <c r="O33" s="42"/>
    </row>
    <row r="34" spans="1:15" ht="18" customHeight="1" thickBot="1" x14ac:dyDescent="0.35"/>
    <row r="35" spans="1:15" ht="25.5" customHeight="1" thickBot="1" x14ac:dyDescent="0.35">
      <c r="A35" s="27" t="s">
        <v>31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18" t="str">
        <f>IF(M32&gt;M31,"⬆ OVERVALUED","⬇ UNDERVALUED")</f>
        <v>⬆ OVERVALUED</v>
      </c>
      <c r="N35" s="18" t="str">
        <f t="shared" ref="N35:O35" si="0">IF(N32&gt;N31,"⬆ OVERVALUED","⬇ UNDERVALUED")</f>
        <v>⬆ OVERVALUED</v>
      </c>
      <c r="O35" s="18" t="str">
        <f t="shared" si="0"/>
        <v>⬆ OVERVALUED</v>
      </c>
    </row>
    <row r="36" spans="1:15" ht="18" customHeight="1" x14ac:dyDescent="0.3"/>
    <row r="37" spans="1:15" ht="18" customHeight="1" x14ac:dyDescent="0.3">
      <c r="A37" s="48" t="s">
        <v>49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18" customHeight="1" x14ac:dyDescent="0.3"/>
    <row r="39" spans="1:15" ht="18" customHeight="1" x14ac:dyDescent="0.3"/>
    <row r="40" spans="1:15" ht="18" customHeight="1" x14ac:dyDescent="0.3"/>
    <row r="41" spans="1:15" ht="18" customHeight="1" x14ac:dyDescent="0.3"/>
    <row r="42" spans="1:15" ht="18" customHeight="1" x14ac:dyDescent="0.3"/>
    <row r="43" spans="1:15" ht="18" customHeight="1" x14ac:dyDescent="0.3"/>
    <row r="44" spans="1:15" ht="18" customHeight="1" x14ac:dyDescent="0.3"/>
    <row r="45" spans="1:15" ht="18" customHeight="1" x14ac:dyDescent="0.3"/>
    <row r="46" spans="1:15" ht="18" customHeight="1" x14ac:dyDescent="0.3"/>
  </sheetData>
  <mergeCells count="25">
    <mergeCell ref="A1:O1"/>
    <mergeCell ref="A37:O37"/>
    <mergeCell ref="A35:L35"/>
    <mergeCell ref="A20:L20"/>
    <mergeCell ref="A32:L32"/>
    <mergeCell ref="A31:L31"/>
    <mergeCell ref="A26:L26"/>
    <mergeCell ref="A22:L22"/>
    <mergeCell ref="A28:L28"/>
    <mergeCell ref="A3:O3"/>
    <mergeCell ref="A18:L18"/>
    <mergeCell ref="A2:O2"/>
    <mergeCell ref="A25:L25"/>
    <mergeCell ref="I5:K5"/>
    <mergeCell ref="A24:L24"/>
    <mergeCell ref="A21:L21"/>
    <mergeCell ref="A16:L16"/>
    <mergeCell ref="M5:O5"/>
    <mergeCell ref="A17:L17"/>
    <mergeCell ref="A33:L33"/>
    <mergeCell ref="A29:L29"/>
    <mergeCell ref="C5:G5"/>
    <mergeCell ref="A19:L19"/>
    <mergeCell ref="A27:L27"/>
    <mergeCell ref="A30:L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Comparable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Aviral Vohra</cp:lastModifiedBy>
  <cp:revision>0</cp:revision>
  <dcterms:created xsi:type="dcterms:W3CDTF">2026-03-22T09:56:49Z</dcterms:created>
  <dcterms:modified xsi:type="dcterms:W3CDTF">2026-03-22T17:01:41Z</dcterms:modified>
  <dc:language>en-US</dc:language>
</cp:coreProperties>
</file>